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>
    <definedName name="CHECK_HOUR">LAMBDA(IF(AND(DATE(ticket!$B$3)=DATE(ticket!$C$3),HOUR(ticket!$B$3)=HOUR(ticket!$C$3)),"Yes","No"))</definedName>
    <definedName name="CHECK_DAY">LAMBDA(IF(DATE(ticket!$B$3)=DATE(ticket!$C$3),"Yes","No"))</definedName>
  </definedNames>
  <calcPr/>
</workbook>
</file>

<file path=xl/sharedStrings.xml><?xml version="1.0" encoding="utf-8"?>
<sst xmlns="http://schemas.openxmlformats.org/spreadsheetml/2006/main" count="43" uniqueCount="42">
  <si>
    <t>ticket_id</t>
  </si>
  <si>
    <t>created_at</t>
  </si>
  <si>
    <t>closed_at</t>
  </si>
  <si>
    <t>outlet_id</t>
  </si>
  <si>
    <t>cms_id</t>
  </si>
  <si>
    <t>same_day</t>
  </si>
  <si>
    <t>same_hour</t>
  </si>
  <si>
    <t>t0</t>
  </si>
  <si>
    <t>outlet_0</t>
  </si>
  <si>
    <t>t1</t>
  </si>
  <si>
    <t>outlet_1</t>
  </si>
  <si>
    <t>t2</t>
  </si>
  <si>
    <t>outlet_2</t>
  </si>
  <si>
    <t>t3</t>
  </si>
  <si>
    <t>outlet_3</t>
  </si>
  <si>
    <t>t4</t>
  </si>
  <si>
    <t>outlet_4</t>
  </si>
  <si>
    <t>t5</t>
  </si>
  <si>
    <t>outlet_5</t>
  </si>
  <si>
    <t>t6</t>
  </si>
  <si>
    <t>outlet_6</t>
  </si>
  <si>
    <t>t7</t>
  </si>
  <si>
    <t>outlet_7</t>
  </si>
  <si>
    <t>t8</t>
  </si>
  <si>
    <t>outlet_8</t>
  </si>
  <si>
    <t>t9</t>
  </si>
  <si>
    <t>outlet_9</t>
  </si>
  <si>
    <t>t10</t>
  </si>
  <si>
    <t>outlet_10</t>
  </si>
  <si>
    <t>t11</t>
  </si>
  <si>
    <t>outlet_11</t>
  </si>
  <si>
    <t>t12</t>
  </si>
  <si>
    <t>outlet_12</t>
  </si>
  <si>
    <t>t13</t>
  </si>
  <si>
    <t>outlet_13</t>
  </si>
  <si>
    <t>t14</t>
  </si>
  <si>
    <t>outlet_14</t>
  </si>
  <si>
    <t>feedback_at</t>
  </si>
  <si>
    <t>feedback_rating</t>
  </si>
  <si>
    <t>ticket_created_at</t>
  </si>
  <si>
    <t>vew-iuvd-12</t>
  </si>
  <si>
    <t>2021-08-21 13:26:48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</si>
</sst>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5.14"/>
    <col customWidth="1" min="3" max="3" width="22.57"/>
    <col customWidth="1" min="4" max="4" width="20.43"/>
    <col customWidth="1" min="5" max="5" width="22.0"/>
    <col customWidth="1" min="6" max="6" width="19.29"/>
    <col customWidth="1" min="7" max="7" width="23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46118.166666666664</v>
      </c>
      <c r="C2" s="3">
        <v>46118.5</v>
      </c>
      <c r="D2" s="4" t="s">
        <v>8</v>
      </c>
      <c r="E2" s="2" t="str">
        <f t="shared" ref="E2:E16" si="1">CONCATENATE("c",RIGHT(A2,LEN(A2) - 1))</f>
        <v>c0</v>
      </c>
      <c r="F2" s="2" t="str">
        <f t="shared" ref="F2:F16" si="2">CHECKDAY(B2,C2)</f>
        <v>Yes</v>
      </c>
      <c r="G2" s="1" t="str">
        <f t="shared" ref="G2:G16" si="3">CHECKHOUR(B2,C2)</f>
        <v>No</v>
      </c>
    </row>
    <row r="3">
      <c r="A3" s="2" t="s">
        <v>9</v>
      </c>
      <c r="B3" s="3">
        <v>46119.416666666664</v>
      </c>
      <c r="C3" s="3">
        <v>46120.208333333336</v>
      </c>
      <c r="D3" s="2" t="s">
        <v>10</v>
      </c>
      <c r="E3" s="2" t="str">
        <f t="shared" si="1"/>
        <v>c1</v>
      </c>
      <c r="F3" s="2" t="str">
        <f t="shared" si="2"/>
        <v>No</v>
      </c>
      <c r="G3" s="1" t="str">
        <f t="shared" si="3"/>
        <v>No</v>
      </c>
    </row>
    <row r="4">
      <c r="A4" s="2" t="s">
        <v>11</v>
      </c>
      <c r="B4" s="3">
        <v>46119.458333333336</v>
      </c>
      <c r="C4" s="3">
        <v>46120.375</v>
      </c>
      <c r="D4" s="2" t="s">
        <v>12</v>
      </c>
      <c r="E4" s="2" t="str">
        <f t="shared" si="1"/>
        <v>c2</v>
      </c>
      <c r="F4" s="2" t="str">
        <f t="shared" si="2"/>
        <v>No</v>
      </c>
      <c r="G4" s="1" t="str">
        <f t="shared" si="3"/>
        <v>No</v>
      </c>
    </row>
    <row r="5">
      <c r="A5" s="2" t="s">
        <v>13</v>
      </c>
      <c r="B5" s="3">
        <v>46120.375</v>
      </c>
      <c r="C5" s="3">
        <v>46121.458333333336</v>
      </c>
      <c r="D5" s="2" t="s">
        <v>14</v>
      </c>
      <c r="E5" s="1" t="str">
        <f t="shared" si="1"/>
        <v>c3</v>
      </c>
      <c r="F5" s="2" t="str">
        <f t="shared" si="2"/>
        <v>No</v>
      </c>
      <c r="G5" s="1" t="str">
        <f t="shared" si="3"/>
        <v>No</v>
      </c>
    </row>
    <row r="6">
      <c r="A6" s="2" t="s">
        <v>15</v>
      </c>
      <c r="B6" s="3">
        <v>46120.364583333336</v>
      </c>
      <c r="C6" s="3">
        <v>46120.375</v>
      </c>
      <c r="D6" s="2" t="s">
        <v>16</v>
      </c>
      <c r="E6" s="1" t="str">
        <f t="shared" si="1"/>
        <v>c4</v>
      </c>
      <c r="F6" s="2" t="str">
        <f t="shared" si="2"/>
        <v>Yes</v>
      </c>
      <c r="G6" s="1" t="str">
        <f t="shared" si="3"/>
        <v>Yes</v>
      </c>
    </row>
    <row r="7">
      <c r="A7" s="2" t="s">
        <v>17</v>
      </c>
      <c r="B7" s="3">
        <v>46121.364583333336</v>
      </c>
      <c r="C7" s="3">
        <v>46121.375</v>
      </c>
      <c r="D7" s="2" t="s">
        <v>18</v>
      </c>
      <c r="E7" s="1" t="str">
        <f t="shared" si="1"/>
        <v>c5</v>
      </c>
      <c r="F7" s="2" t="str">
        <f t="shared" si="2"/>
        <v>Yes</v>
      </c>
      <c r="G7" s="1" t="str">
        <f t="shared" si="3"/>
        <v>Yes</v>
      </c>
    </row>
    <row r="8">
      <c r="A8" s="2" t="s">
        <v>19</v>
      </c>
      <c r="B8" s="3">
        <v>46122.104166666664</v>
      </c>
      <c r="C8" s="3">
        <v>46122.375</v>
      </c>
      <c r="D8" s="2" t="s">
        <v>20</v>
      </c>
      <c r="E8" s="1" t="str">
        <f t="shared" si="1"/>
        <v>c6</v>
      </c>
      <c r="F8" s="2" t="str">
        <f t="shared" si="2"/>
        <v>Yes</v>
      </c>
      <c r="G8" s="1" t="str">
        <f t="shared" si="3"/>
        <v>No</v>
      </c>
    </row>
    <row r="9">
      <c r="A9" s="2" t="s">
        <v>21</v>
      </c>
      <c r="B9" s="3">
        <v>46123.211805555555</v>
      </c>
      <c r="C9" s="3">
        <v>46124.375</v>
      </c>
      <c r="D9" s="2" t="s">
        <v>22</v>
      </c>
      <c r="E9" s="1" t="str">
        <f t="shared" si="1"/>
        <v>c7</v>
      </c>
      <c r="F9" s="2" t="str">
        <f t="shared" si="2"/>
        <v>No</v>
      </c>
      <c r="G9" s="1" t="str">
        <f t="shared" si="3"/>
        <v>No</v>
      </c>
    </row>
    <row r="10">
      <c r="A10" s="2" t="s">
        <v>23</v>
      </c>
      <c r="B10" s="3">
        <v>46124.364583333336</v>
      </c>
      <c r="C10" s="3">
        <v>46124.541666666664</v>
      </c>
      <c r="D10" s="2" t="s">
        <v>24</v>
      </c>
      <c r="E10" s="1" t="str">
        <f t="shared" si="1"/>
        <v>c8</v>
      </c>
      <c r="F10" s="2" t="str">
        <f t="shared" si="2"/>
        <v>Yes</v>
      </c>
      <c r="G10" s="1" t="str">
        <f t="shared" si="3"/>
        <v>No</v>
      </c>
    </row>
    <row r="11">
      <c r="A11" s="2" t="s">
        <v>25</v>
      </c>
      <c r="B11" s="3">
        <v>46125.145833333336</v>
      </c>
      <c r="C11" s="3">
        <v>46125.375</v>
      </c>
      <c r="D11" s="2" t="s">
        <v>26</v>
      </c>
      <c r="E11" s="1" t="str">
        <f t="shared" si="1"/>
        <v>c9</v>
      </c>
      <c r="F11" s="2" t="str">
        <f t="shared" si="2"/>
        <v>Yes</v>
      </c>
      <c r="G11" s="1" t="str">
        <f t="shared" si="3"/>
        <v>No</v>
      </c>
    </row>
    <row r="12">
      <c r="A12" s="2" t="s">
        <v>27</v>
      </c>
      <c r="B12" s="3">
        <v>46126.635416666664</v>
      </c>
      <c r="C12" s="3">
        <v>46126.635416666664</v>
      </c>
      <c r="D12" s="2" t="s">
        <v>28</v>
      </c>
      <c r="E12" s="1" t="str">
        <f t="shared" si="1"/>
        <v>c10</v>
      </c>
      <c r="F12" s="2" t="str">
        <f t="shared" si="2"/>
        <v>Yes</v>
      </c>
      <c r="G12" s="1" t="str">
        <f t="shared" si="3"/>
        <v>Yes</v>
      </c>
    </row>
    <row r="13">
      <c r="A13" s="2" t="s">
        <v>29</v>
      </c>
      <c r="B13" s="3">
        <v>46127.15625</v>
      </c>
      <c r="C13" s="3">
        <v>46128.375</v>
      </c>
      <c r="D13" s="2" t="s">
        <v>30</v>
      </c>
      <c r="E13" s="1" t="str">
        <f t="shared" si="1"/>
        <v>c11</v>
      </c>
      <c r="F13" s="2" t="str">
        <f t="shared" si="2"/>
        <v>No</v>
      </c>
      <c r="G13" s="1" t="str">
        <f t="shared" si="3"/>
        <v>No</v>
      </c>
    </row>
    <row r="14">
      <c r="A14" s="2" t="s">
        <v>31</v>
      </c>
      <c r="B14" s="3">
        <v>46128.364583333336</v>
      </c>
      <c r="C14" s="3">
        <v>46129.125</v>
      </c>
      <c r="D14" s="2" t="s">
        <v>32</v>
      </c>
      <c r="E14" s="1" t="str">
        <f t="shared" si="1"/>
        <v>c12</v>
      </c>
      <c r="F14" s="2" t="str">
        <f t="shared" si="2"/>
        <v>No</v>
      </c>
      <c r="G14" s="1" t="str">
        <f t="shared" si="3"/>
        <v>No</v>
      </c>
    </row>
    <row r="15">
      <c r="A15" s="2" t="s">
        <v>33</v>
      </c>
      <c r="B15" s="3">
        <v>46129.09722222222</v>
      </c>
      <c r="C15" s="3">
        <v>46129.375</v>
      </c>
      <c r="D15" s="2" t="s">
        <v>34</v>
      </c>
      <c r="E15" s="1" t="str">
        <f t="shared" si="1"/>
        <v>c13</v>
      </c>
      <c r="F15" s="2" t="str">
        <f t="shared" si="2"/>
        <v>Yes</v>
      </c>
      <c r="G15" s="1" t="str">
        <f t="shared" si="3"/>
        <v>No</v>
      </c>
    </row>
    <row r="16">
      <c r="A16" s="2" t="s">
        <v>35</v>
      </c>
      <c r="B16" s="3">
        <v>46130.99652777778</v>
      </c>
      <c r="C16" s="3">
        <v>46132.5</v>
      </c>
      <c r="D16" s="2" t="s">
        <v>36</v>
      </c>
      <c r="E16" s="1" t="str">
        <f t="shared" si="1"/>
        <v>c14</v>
      </c>
      <c r="F16" s="2" t="str">
        <f t="shared" si="2"/>
        <v>No</v>
      </c>
      <c r="G16" s="1" t="str">
        <f t="shared" si="3"/>
        <v>No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37</v>
      </c>
      <c r="C1" s="1" t="s">
        <v>38</v>
      </c>
      <c r="D1" s="1" t="s">
        <v>39</v>
      </c>
    </row>
    <row r="2">
      <c r="A2" s="1" t="s">
        <v>40</v>
      </c>
      <c r="B2" s="1" t="s">
        <v>41</v>
      </c>
      <c r="C2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